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computed_solu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b val="1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2">
    <border>
      <left/>
      <right/>
      <top/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4" borderId="6" applyAlignment="1">
      <alignment vertical="center"/>
    </xf>
    <xf numFmtId="0" fontId="11" fillId="5" borderId="7" applyAlignment="1">
      <alignment vertical="center"/>
    </xf>
    <xf numFmtId="0" fontId="12" fillId="5" borderId="6" applyAlignment="1">
      <alignment vertical="center"/>
    </xf>
    <xf numFmtId="0" fontId="13" fillId="6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11" pivotButton="0" quotePrefix="0" xfId="0"/>
    <xf numFmtId="0" fontId="0" fillId="0" borderId="11" pivotButton="0" quotePrefix="0" xfId="0"/>
    <xf numFmtId="0" fontId="24" fillId="34" borderId="1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zoomScale="160" zoomScaleNormal="160" workbookViewId="0">
      <selection activeCell="K14" sqref="K14"/>
    </sheetView>
  </sheetViews>
  <sheetFormatPr baseColWidth="8" defaultColWidth="9" defaultRowHeight="14"/>
  <cols>
    <col width="12.2727272727273" customWidth="1" style="5" min="2" max="2"/>
  </cols>
  <sheetData>
    <row r="1"/>
    <row r="2" ht="14.75" customHeight="1" s="5"/>
    <row r="3" ht="28" customHeight="1" s="5">
      <c r="B3" s="1" t="inlineStr">
        <is>
          <t xml:space="preserve">      工件
原材料</t>
        </is>
      </c>
      <c r="C3" s="2" t="inlineStr">
        <is>
          <t>J01</t>
        </is>
      </c>
      <c r="D3" s="2" t="inlineStr">
        <is>
          <t>J02</t>
        </is>
      </c>
      <c r="E3" s="2" t="inlineStr">
        <is>
          <t>J03</t>
        </is>
      </c>
      <c r="F3" s="2" t="inlineStr">
        <is>
          <t>J04</t>
        </is>
      </c>
      <c r="G3" s="2" t="inlineStr">
        <is>
          <t>J05</t>
        </is>
      </c>
      <c r="H3" s="2" t="inlineStr">
        <is>
          <t>J06</t>
        </is>
      </c>
      <c r="I3" s="2" t="inlineStr">
        <is>
          <t>J07</t>
        </is>
      </c>
      <c r="J3" s="2" t="inlineStr">
        <is>
          <t>收益</t>
        </is>
      </c>
    </row>
    <row r="4" ht="17" customHeight="1" s="5">
      <c r="B4" s="2" t="inlineStr">
        <is>
          <t>L01</t>
        </is>
      </c>
      <c r="C4" s="3" t="inlineStr">
        <is>
          <t>100.00%</t>
        </is>
      </c>
      <c r="D4" s="3" t="inlineStr">
        <is>
          <t>100.00%</t>
        </is>
      </c>
      <c r="E4" s="3" t="inlineStr">
        <is>
          <t>100.00%</t>
        </is>
      </c>
      <c r="F4" s="3" t="n">
        <v>16</v>
      </c>
      <c r="G4" s="3" t="n">
        <v>16</v>
      </c>
      <c r="H4" s="3" t="n">
        <v>424</v>
      </c>
      <c r="I4" s="3" t="n">
        <v>210</v>
      </c>
      <c r="J4" s="4">
        <f>C4*620+D4*780+E4*880+F4*1850+G4*2520+H4*1000+I4*540</f>
        <v/>
      </c>
    </row>
    <row r="5" ht="17" customHeight="1" s="5">
      <c r="B5" s="2" t="inlineStr">
        <is>
          <t>L01</t>
        </is>
      </c>
      <c r="C5" s="3" t="inlineStr">
        <is>
          <t>100.00%</t>
        </is>
      </c>
      <c r="D5" s="3" t="inlineStr">
        <is>
          <t>100.00%</t>
        </is>
      </c>
      <c r="E5" s="3" t="inlineStr">
        <is>
          <t>100.00%</t>
        </is>
      </c>
      <c r="F5" s="3" t="n">
        <v>16</v>
      </c>
      <c r="G5" s="3" t="n">
        <v>16</v>
      </c>
      <c r="H5" s="3" t="n">
        <v>424</v>
      </c>
      <c r="I5" s="3" t="n">
        <v>210</v>
      </c>
      <c r="J5" s="4">
        <f>C5*620+D5*780+E5*880+F5*1850+G5*2520+H5*1000+I5*540</f>
        <v/>
      </c>
    </row>
    <row r="6" ht="17" customHeight="1" s="5">
      <c r="B6" s="2" t="inlineStr">
        <is>
          <t>L01</t>
        </is>
      </c>
      <c r="C6" s="3" t="inlineStr">
        <is>
          <t>100.00%</t>
        </is>
      </c>
      <c r="D6" s="3" t="inlineStr">
        <is>
          <t>100.00%</t>
        </is>
      </c>
      <c r="E6" s="3" t="inlineStr">
        <is>
          <t>100.00%</t>
        </is>
      </c>
      <c r="F6" s="3" t="n">
        <v>16</v>
      </c>
      <c r="G6" s="3" t="n">
        <v>16</v>
      </c>
      <c r="H6" s="3" t="n">
        <v>424</v>
      </c>
      <c r="I6" s="3" t="n">
        <v>210</v>
      </c>
      <c r="J6" s="4">
        <f>C6*620+D6*780+E6*880+F6*1850+G6*2520+H6*1000+I6*540</f>
        <v/>
      </c>
    </row>
    <row r="7" ht="17" customHeight="1" s="5">
      <c r="B7" s="2" t="inlineStr">
        <is>
          <t>L01</t>
        </is>
      </c>
      <c r="C7" s="3" t="inlineStr">
        <is>
          <t>100.00%</t>
        </is>
      </c>
      <c r="D7" s="3" t="inlineStr">
        <is>
          <t>100.00%</t>
        </is>
      </c>
      <c r="E7" s="3" t="inlineStr">
        <is>
          <t>100.00%</t>
        </is>
      </c>
      <c r="F7" s="3" t="n">
        <v>16</v>
      </c>
      <c r="G7" s="3" t="n">
        <v>16</v>
      </c>
      <c r="H7" s="3" t="n">
        <v>424</v>
      </c>
      <c r="I7" s="3" t="n">
        <v>210</v>
      </c>
      <c r="J7" s="4">
        <f>C7*620+D7*780+E7*880+F7*1850+G7*2520+H7*1000+I7*540</f>
        <v/>
      </c>
    </row>
    <row r="8" ht="17" customHeight="1" s="5">
      <c r="B8" s="2" t="inlineStr">
        <is>
          <t>L01</t>
        </is>
      </c>
      <c r="C8" s="3" t="inlineStr">
        <is>
          <t>100.00%</t>
        </is>
      </c>
      <c r="D8" s="3" t="inlineStr">
        <is>
          <t>100.00%</t>
        </is>
      </c>
      <c r="E8" s="3" t="inlineStr">
        <is>
          <t>100.00%</t>
        </is>
      </c>
      <c r="F8" s="3" t="n">
        <v>16</v>
      </c>
      <c r="G8" s="3" t="n">
        <v>16</v>
      </c>
      <c r="H8" s="3" t="n">
        <v>424</v>
      </c>
      <c r="I8" s="3" t="n">
        <v>210</v>
      </c>
      <c r="J8" s="4">
        <f>C8*620+D8*780+E8*880+F8*1850+G8*2520+H8*1000+I8*540</f>
        <v/>
      </c>
    </row>
    <row r="9" ht="17" customHeight="1" s="5">
      <c r="B9" s="2" t="inlineStr">
        <is>
          <t>L02</t>
        </is>
      </c>
      <c r="C9" s="3" t="inlineStr">
        <is>
          <t>89.39%</t>
        </is>
      </c>
      <c r="D9" s="3" t="inlineStr">
        <is>
          <t>89.39%</t>
        </is>
      </c>
      <c r="E9" s="3" t="inlineStr">
        <is>
          <t>89.39%</t>
        </is>
      </c>
      <c r="F9" s="3" t="n">
        <v>16</v>
      </c>
      <c r="G9" s="3" t="n">
        <v>16</v>
      </c>
      <c r="H9" s="3" t="n">
        <v>424</v>
      </c>
      <c r="I9" s="3" t="n">
        <v>210</v>
      </c>
      <c r="J9" s="4">
        <f>C9*620+D9*780+E9*880+F9*1850+G9*2520+H9*1000+I9*540</f>
        <v/>
      </c>
    </row>
    <row r="10" ht="17" customHeight="1" s="5">
      <c r="B10" s="2" t="inlineStr">
        <is>
          <t>L02</t>
        </is>
      </c>
      <c r="C10" s="3" t="inlineStr">
        <is>
          <t>89.39%</t>
        </is>
      </c>
      <c r="D10" s="3" t="inlineStr">
        <is>
          <t>89.39%</t>
        </is>
      </c>
      <c r="E10" s="3" t="inlineStr">
        <is>
          <t>89.39%</t>
        </is>
      </c>
      <c r="F10" s="3" t="n">
        <v>16</v>
      </c>
      <c r="G10" s="3" t="n">
        <v>16</v>
      </c>
      <c r="H10" s="3" t="n">
        <v>424</v>
      </c>
      <c r="I10" s="3" t="n">
        <v>210</v>
      </c>
      <c r="J10" s="4">
        <f>C10*620+D10*780+E10*880+F10*1850+G10*2520+H10*1000+I10*540</f>
        <v/>
      </c>
    </row>
    <row r="11" ht="17" customHeight="1" s="5">
      <c r="B11" s="2" t="inlineStr">
        <is>
          <t>L02</t>
        </is>
      </c>
      <c r="C11" s="3" t="inlineStr">
        <is>
          <t>89.39%</t>
        </is>
      </c>
      <c r="D11" s="3" t="inlineStr">
        <is>
          <t>89.39%</t>
        </is>
      </c>
      <c r="E11" s="3" t="inlineStr">
        <is>
          <t>89.39%</t>
        </is>
      </c>
      <c r="F11" s="3" t="n">
        <v>16</v>
      </c>
      <c r="G11" s="3" t="n">
        <v>16</v>
      </c>
      <c r="H11" s="3" t="n">
        <v>424</v>
      </c>
      <c r="I11" s="3" t="n">
        <v>210</v>
      </c>
      <c r="J11" s="4">
        <f>C11*620+D11*780+E11*880+F11*1850+G11*2520+H11*1000+I11*540</f>
        <v/>
      </c>
    </row>
    <row r="12" ht="17" customHeight="1" s="5">
      <c r="B12" s="2" t="inlineStr">
        <is>
          <t>L02</t>
        </is>
      </c>
      <c r="C12" s="3" t="inlineStr">
        <is>
          <t>89.39%</t>
        </is>
      </c>
      <c r="D12" s="3" t="inlineStr">
        <is>
          <t>89.39%</t>
        </is>
      </c>
      <c r="E12" s="3" t="inlineStr">
        <is>
          <t>89.39%</t>
        </is>
      </c>
      <c r="F12" s="3" t="n">
        <v>16</v>
      </c>
      <c r="G12" s="3" t="n">
        <v>16</v>
      </c>
      <c r="H12" s="3" t="n">
        <v>424</v>
      </c>
      <c r="I12" s="3" t="n">
        <v>210</v>
      </c>
      <c r="J12" s="4">
        <f>C12*620+D12*780+E12*880+F12*1850+G12*2520+H12*1000+I12*540</f>
        <v/>
      </c>
    </row>
    <row r="13" ht="17" customHeight="1" s="5">
      <c r="B13" s="2" t="inlineStr">
        <is>
          <t>L02</t>
        </is>
      </c>
      <c r="C13" s="3" t="inlineStr">
        <is>
          <t>89.39%</t>
        </is>
      </c>
      <c r="D13" s="3" t="inlineStr">
        <is>
          <t>89.39%</t>
        </is>
      </c>
      <c r="E13" s="3" t="inlineStr">
        <is>
          <t>89.39%</t>
        </is>
      </c>
      <c r="F13" s="3" t="n">
        <v>16</v>
      </c>
      <c r="G13" s="3" t="n">
        <v>16</v>
      </c>
      <c r="H13" s="3" t="n">
        <v>424</v>
      </c>
      <c r="I13" s="3" t="n">
        <v>210</v>
      </c>
      <c r="J13" s="4">
        <f>C13*620+D13*780+E13*880+F13*1850+G13*2520+H13*1000+I13*540</f>
        <v/>
      </c>
    </row>
    <row r="14" ht="17" customHeight="1" s="5">
      <c r="B14" s="2" t="inlineStr">
        <is>
          <t>L03</t>
        </is>
      </c>
      <c r="C14" s="3" t="inlineStr">
        <is>
          <t>94.00%</t>
        </is>
      </c>
      <c r="D14" s="3" t="inlineStr">
        <is>
          <t>94.00%</t>
        </is>
      </c>
      <c r="E14" s="3" t="inlineStr">
        <is>
          <t>94.00%</t>
        </is>
      </c>
      <c r="F14" s="3" t="n">
        <v>16</v>
      </c>
      <c r="G14" s="3" t="n">
        <v>16</v>
      </c>
      <c r="H14" s="3" t="n">
        <v>424</v>
      </c>
      <c r="I14" s="3" t="n">
        <v>210</v>
      </c>
      <c r="J14" s="4">
        <f>C14*620+D14*780+E14*880+F14*1850+G14*2520+H14*1000+I14*540</f>
        <v/>
      </c>
    </row>
    <row r="15" ht="17" customHeight="1" s="5">
      <c r="B15" s="2" t="inlineStr">
        <is>
          <t>L03</t>
        </is>
      </c>
      <c r="C15" s="3" t="inlineStr">
        <is>
          <t>94.00%</t>
        </is>
      </c>
      <c r="D15" s="3" t="inlineStr">
        <is>
          <t>94.00%</t>
        </is>
      </c>
      <c r="E15" s="3" t="inlineStr">
        <is>
          <t>94.00%</t>
        </is>
      </c>
      <c r="F15" s="3" t="n">
        <v>16</v>
      </c>
      <c r="G15" s="3" t="n">
        <v>16</v>
      </c>
      <c r="H15" s="3" t="n">
        <v>424</v>
      </c>
      <c r="I15" s="3" t="n">
        <v>210</v>
      </c>
      <c r="J15" s="4">
        <f>C15*620+D15*780+E15*880+F15*1850+G15*2520+H15*1000+I15*540</f>
        <v/>
      </c>
    </row>
    <row r="16" ht="17" customHeight="1" s="5">
      <c r="B16" s="2" t="inlineStr">
        <is>
          <t>L03</t>
        </is>
      </c>
      <c r="C16" s="3" t="inlineStr">
        <is>
          <t>94.00%</t>
        </is>
      </c>
      <c r="D16" s="3" t="inlineStr">
        <is>
          <t>94.00%</t>
        </is>
      </c>
      <c r="E16" s="3" t="inlineStr">
        <is>
          <t>94.00%</t>
        </is>
      </c>
      <c r="F16" s="3" t="n">
        <v>16</v>
      </c>
      <c r="G16" s="3" t="n">
        <v>16</v>
      </c>
      <c r="H16" s="3" t="n">
        <v>424</v>
      </c>
      <c r="I16" s="3" t="n">
        <v>210</v>
      </c>
      <c r="J16" s="4">
        <f>C16*620+D16*780+E16*880+F16*1850+G16*2520+H16*1000+I16*540</f>
        <v/>
      </c>
    </row>
    <row r="17" ht="17" customHeight="1" s="5">
      <c r="B17" s="2" t="inlineStr">
        <is>
          <t>L03</t>
        </is>
      </c>
      <c r="C17" s="3" t="inlineStr">
        <is>
          <t>94.00%</t>
        </is>
      </c>
      <c r="D17" s="3" t="inlineStr">
        <is>
          <t>94.00%</t>
        </is>
      </c>
      <c r="E17" s="3" t="inlineStr">
        <is>
          <t>94.00%</t>
        </is>
      </c>
      <c r="F17" s="3" t="n">
        <v>16</v>
      </c>
      <c r="G17" s="3" t="n">
        <v>16</v>
      </c>
      <c r="H17" s="3" t="n">
        <v>424</v>
      </c>
      <c r="I17" s="3" t="n">
        <v>210</v>
      </c>
      <c r="J17" s="4">
        <f>C17*620+D17*780+E17*880+F17*1850+G17*2520+H17*1000+I17*540</f>
        <v/>
      </c>
    </row>
    <row r="18" ht="17" customHeight="1" s="5">
      <c r="B18" s="2" t="inlineStr">
        <is>
          <t>L03</t>
        </is>
      </c>
      <c r="C18" s="3" t="inlineStr">
        <is>
          <t>94.00%</t>
        </is>
      </c>
      <c r="D18" s="3" t="inlineStr">
        <is>
          <t>94.00%</t>
        </is>
      </c>
      <c r="E18" s="3" t="inlineStr">
        <is>
          <t>94.00%</t>
        </is>
      </c>
      <c r="F18" s="3" t="n">
        <v>16</v>
      </c>
      <c r="G18" s="3" t="n">
        <v>16</v>
      </c>
      <c r="H18" s="3" t="n">
        <v>424</v>
      </c>
      <c r="I18" s="3" t="n">
        <v>210</v>
      </c>
      <c r="J18" s="4">
        <f>C18*620+D18*780+E18*880+F18*1850+G18*2520+H18*1000+I18*540</f>
        <v/>
      </c>
    </row>
    <row r="19">
      <c r="B19" s="2" t="inlineStr">
        <is>
          <t>总计</t>
        </is>
      </c>
      <c r="C19" s="2">
        <f>SUM(C4:C18)</f>
        <v/>
      </c>
      <c r="D19" s="2">
        <f>SUM(D4:D18)</f>
        <v/>
      </c>
      <c r="E19" s="2">
        <f>SUM(E4:E18)</f>
        <v/>
      </c>
      <c r="F19" s="2">
        <f>SUM(F4:F18)</f>
        <v/>
      </c>
      <c r="G19" s="2">
        <f>SUM(G4:G18)</f>
        <v/>
      </c>
      <c r="H19" s="2">
        <f>SUM(H4:H18)</f>
        <v/>
      </c>
      <c r="I19" s="2">
        <f>SUM(I4:I18)</f>
        <v/>
      </c>
      <c r="J19" s="2">
        <f>SUM(J4:J18)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style="5" min="1" max="1"/>
    <col width="22" customWidth="1" style="5" min="2" max="2"/>
    <col width="22" customWidth="1" style="5" min="3" max="3"/>
    <col width="22" customWidth="1" style="5" min="4" max="4"/>
    <col width="22" customWidth="1" style="5" min="5" max="5"/>
    <col width="22" customWidth="1" style="5" min="6" max="6"/>
    <col width="22" customWidth="1" style="5" min="7" max="7"/>
    <col width="22" customWidth="1" style="5" min="8" max="8"/>
    <col width="22" customWidth="1" style="5" min="9" max="9"/>
  </cols>
  <sheetData>
    <row r="1">
      <c r="A1" s="6" t="inlineStr">
        <is>
          <t>Computed Solution - PROBLEM2</t>
        </is>
      </c>
    </row>
    <row r="3">
      <c r="A3" s="7" t="inlineStr">
        <is>
          <t>Basic Information</t>
        </is>
      </c>
    </row>
    <row r="4">
      <c r="A4" s="8" t="inlineStr">
        <is>
          <t>Status</t>
        </is>
      </c>
      <c r="B4" s="9" t="inlineStr">
        <is>
          <t>OPTIMAL</t>
        </is>
      </c>
    </row>
    <row r="5">
      <c r="A5" s="8" t="inlineStr">
        <is>
          <t>Objective Value</t>
        </is>
      </c>
      <c r="B5" s="9" t="inlineStr">
        <is>
          <t>742400.00</t>
        </is>
      </c>
    </row>
    <row r="6">
      <c r="A6" s="8" t="inlineStr">
        <is>
          <t>Total Profit</t>
        </is>
      </c>
      <c r="B6" s="9" t="inlineStr">
        <is>
          <t>742,400.00</t>
        </is>
      </c>
    </row>
    <row r="7">
      <c r="A7" s="8" t="inlineStr">
        <is>
          <t>Total Used Volume</t>
        </is>
      </c>
      <c r="B7" s="9" t="inlineStr">
        <is>
          <t>73,040,000</t>
        </is>
      </c>
    </row>
    <row r="8">
      <c r="A8" s="8" t="inlineStr">
        <is>
          <t>Total Waste Volume</t>
        </is>
      </c>
      <c r="B8" s="9" t="inlineStr">
        <is>
          <t>2,710,000</t>
        </is>
      </c>
    </row>
    <row r="9">
      <c r="A9" s="8" t="inlineStr">
        <is>
          <t>Total Material Volume</t>
        </is>
      </c>
      <c r="B9" s="9" t="inlineStr">
        <is>
          <t>75,750,000</t>
        </is>
      </c>
    </row>
    <row r="10">
      <c r="A10" s="8" t="inlineStr">
        <is>
          <t>Material Utilization</t>
        </is>
      </c>
      <c r="B10" s="9" t="inlineStr">
        <is>
          <t>96.42%</t>
        </is>
      </c>
    </row>
    <row r="11">
      <c r="A11" s="8" t="inlineStr">
        <is>
          <t>Waste Gap Ratio</t>
        </is>
      </c>
      <c r="B11" s="9" t="inlineStr">
        <is>
          <t>3.5776%</t>
        </is>
      </c>
    </row>
    <row r="12">
      <c r="A12" s="8" t="inlineStr">
        <is>
          <t>Utilization Gap to 100%</t>
        </is>
      </c>
      <c r="B12" s="9" t="inlineStr">
        <is>
          <t>3.5776%</t>
        </is>
      </c>
    </row>
    <row r="13">
      <c r="A13" s="8" t="inlineStr">
        <is>
          <t>Upper Bound (utilization)</t>
        </is>
      </c>
      <c r="B13" s="9" t="inlineStr">
        <is>
          <t>852,187.50</t>
        </is>
      </c>
    </row>
    <row r="14">
      <c r="A14" s="8" t="inlineStr">
        <is>
          <t>Lower Bound</t>
        </is>
      </c>
      <c r="B14" s="9" t="inlineStr">
        <is>
          <t>742,400.00</t>
        </is>
      </c>
    </row>
    <row r="15">
      <c r="A15" s="8" t="inlineStr">
        <is>
          <t>Gap</t>
        </is>
      </c>
      <c r="B15" s="9" t="inlineStr">
        <is>
          <t>12.8830%</t>
        </is>
      </c>
    </row>
    <row r="16">
      <c r="A16" s="8" t="inlineStr">
        <is>
          <t>Solve Time (s)</t>
        </is>
      </c>
      <c r="B16" s="9" t="inlineStr">
        <is>
          <t>0.08</t>
        </is>
      </c>
    </row>
    <row r="17">
      <c r="A17" s="8" t="inlineStr">
        <is>
          <t>Optimality Note</t>
        </is>
      </c>
      <c r="B17" s="9" t="inlineStr">
        <is>
          <t>Pattern-library optimal (not necessarily global optimal without complete pattern enumeration)</t>
        </is>
      </c>
    </row>
    <row r="19">
      <c r="A19" s="7" t="inlineStr">
        <is>
          <t>Runtime Breakdown</t>
        </is>
      </c>
    </row>
    <row r="20">
      <c r="A20" s="8" t="inlineStr">
        <is>
          <t>pattern_generation_time</t>
        </is>
      </c>
      <c r="B20" s="9" t="inlineStr">
        <is>
          <t>1.87s</t>
        </is>
      </c>
    </row>
    <row r="21">
      <c r="A21" s="8" t="inlineStr">
        <is>
          <t>master_solve_time</t>
        </is>
      </c>
      <c r="B21" s="9" t="inlineStr">
        <is>
          <t>1.99s</t>
        </is>
      </c>
    </row>
    <row r="22">
      <c r="A22" s="8" t="inlineStr">
        <is>
          <t>plotting_time_problem1</t>
        </is>
      </c>
      <c r="B22" s="9" t="inlineStr">
        <is>
          <t>13.38s</t>
        </is>
      </c>
    </row>
    <row r="23">
      <c r="A23" s="8" t="inlineStr">
        <is>
          <t>plotting_time_problem2</t>
        </is>
      </c>
      <c r="B23" s="9" t="inlineStr">
        <is>
          <t>22.28s</t>
        </is>
      </c>
    </row>
    <row r="24">
      <c r="A24" s="8" t="inlineStr">
        <is>
          <t>excel_writing_time</t>
        </is>
      </c>
      <c r="B24" s="9" t="inlineStr">
        <is>
          <t>0.22s</t>
        </is>
      </c>
    </row>
    <row r="26">
      <c r="A26" s="7" t="inlineStr">
        <is>
          <t>Piece Production Quantities</t>
        </is>
      </c>
    </row>
    <row r="27">
      <c r="A27" s="10" t="inlineStr">
        <is>
          <t>Piece</t>
        </is>
      </c>
      <c r="B27" s="10" t="inlineStr">
        <is>
          <t>Quantity</t>
        </is>
      </c>
      <c r="C27" s="10" t="inlineStr">
        <is>
          <t>Volume/Unit</t>
        </is>
      </c>
      <c r="D27" s="10" t="inlineStr">
        <is>
          <t>Total Volume</t>
        </is>
      </c>
      <c r="E27" s="10" t="inlineStr">
        <is>
          <t>Unit Profit</t>
        </is>
      </c>
      <c r="F27" s="10" t="inlineStr">
        <is>
          <t>Total Profit</t>
        </is>
      </c>
    </row>
    <row r="28">
      <c r="A28" s="9" t="inlineStr">
        <is>
          <t>J01</t>
        </is>
      </c>
      <c r="B28" s="9" t="n">
        <v>30</v>
      </c>
      <c r="C28" s="9" t="n">
        <v>64000</v>
      </c>
      <c r="D28" s="9" t="n">
        <v>1920000</v>
      </c>
      <c r="E28" s="9" t="n">
        <v>620</v>
      </c>
      <c r="F28" s="9" t="n">
        <v>18600</v>
      </c>
    </row>
    <row r="29">
      <c r="A29" s="9" t="inlineStr">
        <is>
          <t>J02</t>
        </is>
      </c>
      <c r="B29" s="9" t="n">
        <v>32</v>
      </c>
      <c r="C29" s="9" t="n">
        <v>80000</v>
      </c>
      <c r="D29" s="9" t="n">
        <v>2560000</v>
      </c>
      <c r="E29" s="9" t="n">
        <v>780</v>
      </c>
      <c r="F29" s="9" t="n">
        <v>24960</v>
      </c>
    </row>
    <row r="30">
      <c r="A30" s="9" t="inlineStr">
        <is>
          <t>J03</t>
        </is>
      </c>
      <c r="B30" s="9" t="n">
        <v>104</v>
      </c>
      <c r="C30" s="9" t="n">
        <v>90000</v>
      </c>
      <c r="D30" s="9" t="n">
        <v>9360000</v>
      </c>
      <c r="E30" s="9" t="n">
        <v>880</v>
      </c>
      <c r="F30" s="9" t="n">
        <v>91520</v>
      </c>
    </row>
    <row r="31">
      <c r="A31" s="9" t="inlineStr">
        <is>
          <t>J04</t>
        </is>
      </c>
      <c r="B31" s="9" t="n">
        <v>16</v>
      </c>
      <c r="C31" s="9" t="n">
        <v>180000</v>
      </c>
      <c r="D31" s="9" t="n">
        <v>2880000</v>
      </c>
      <c r="E31" s="9" t="n">
        <v>1850</v>
      </c>
      <c r="F31" s="9" t="n">
        <v>29600</v>
      </c>
    </row>
    <row r="32">
      <c r="A32" s="9" t="inlineStr">
        <is>
          <t>J05</t>
        </is>
      </c>
      <c r="B32" s="9" t="n">
        <v>16</v>
      </c>
      <c r="C32" s="9" t="n">
        <v>240000</v>
      </c>
      <c r="D32" s="9" t="n">
        <v>3840000</v>
      </c>
      <c r="E32" s="9" t="n">
        <v>2520</v>
      </c>
      <c r="F32" s="9" t="n">
        <v>40320</v>
      </c>
    </row>
    <row r="33">
      <c r="A33" s="9" t="inlineStr">
        <is>
          <t>J06</t>
        </is>
      </c>
      <c r="B33" s="9" t="n">
        <v>424</v>
      </c>
      <c r="C33" s="9" t="n">
        <v>100000</v>
      </c>
      <c r="D33" s="9" t="n">
        <v>42400000</v>
      </c>
      <c r="E33" s="9" t="n">
        <v>1000</v>
      </c>
      <c r="F33" s="9" t="n">
        <v>424000</v>
      </c>
    </row>
    <row r="34">
      <c r="A34" s="9" t="inlineStr">
        <is>
          <t>J07</t>
        </is>
      </c>
      <c r="B34" s="9" t="n">
        <v>210</v>
      </c>
      <c r="C34" s="9" t="n">
        <v>48000</v>
      </c>
      <c r="D34" s="9" t="n">
        <v>10080000</v>
      </c>
      <c r="E34" s="9" t="n">
        <v>540</v>
      </c>
      <c r="F34" s="9" t="n">
        <v>113400</v>
      </c>
    </row>
    <row r="36">
      <c r="A36" s="7" t="inlineStr">
        <is>
          <t>Material Utilization Breakdown</t>
        </is>
      </c>
    </row>
    <row r="37">
      <c r="A37" s="10" t="inlineStr">
        <is>
          <t>Material</t>
        </is>
      </c>
      <c r="B37" s="10" t="inlineStr">
        <is>
          <t>Count</t>
        </is>
      </c>
      <c r="C37" s="10" t="inlineStr">
        <is>
          <t>Volume/Material</t>
        </is>
      </c>
      <c r="D37" s="10" t="inlineStr">
        <is>
          <t>Total Volume</t>
        </is>
      </c>
      <c r="E37" s="10" t="inlineStr">
        <is>
          <t>Used Volume</t>
        </is>
      </c>
      <c r="F37" s="10" t="inlineStr">
        <is>
          <t>Waste</t>
        </is>
      </c>
      <c r="G37" s="10" t="inlineStr">
        <is>
          <t>Utilization</t>
        </is>
      </c>
    </row>
    <row r="38">
      <c r="A38" s="9" t="inlineStr">
        <is>
          <t>L01</t>
        </is>
      </c>
      <c r="B38" s="9" t="n">
        <v>5</v>
      </c>
      <c r="C38" s="9" t="n">
        <v>9000000</v>
      </c>
      <c r="D38" s="9" t="n">
        <v>45000000</v>
      </c>
      <c r="E38" s="9" t="n">
        <v>45000000</v>
      </c>
      <c r="F38" s="9" t="n">
        <v>0</v>
      </c>
      <c r="G38" s="9" t="inlineStr">
        <is>
          <t>100.00%</t>
        </is>
      </c>
    </row>
    <row r="39">
      <c r="A39" s="9" t="inlineStr">
        <is>
          <t>L02</t>
        </is>
      </c>
      <c r="B39" s="9" t="n">
        <v>5</v>
      </c>
      <c r="C39" s="9" t="n">
        <v>3750000</v>
      </c>
      <c r="D39" s="9" t="n">
        <v>18750000</v>
      </c>
      <c r="E39" s="9" t="n">
        <v>16760000</v>
      </c>
      <c r="F39" s="9" t="n">
        <v>1990000</v>
      </c>
      <c r="G39" s="9" t="inlineStr">
        <is>
          <t>89.39%</t>
        </is>
      </c>
    </row>
    <row r="40">
      <c r="A40" s="9" t="inlineStr">
        <is>
          <t>L03</t>
        </is>
      </c>
      <c r="B40" s="9" t="n">
        <v>5</v>
      </c>
      <c r="C40" s="9" t="n">
        <v>2400000</v>
      </c>
      <c r="D40" s="9" t="n">
        <v>12000000</v>
      </c>
      <c r="E40" s="9" t="n">
        <v>11280000</v>
      </c>
      <c r="F40" s="9" t="n">
        <v>720000</v>
      </c>
      <c r="G40" s="9" t="inlineStr">
        <is>
          <t>94.00%</t>
        </is>
      </c>
    </row>
    <row r="42">
      <c r="A42" s="7" t="inlineStr">
        <is>
          <t>Pattern Usage Details</t>
        </is>
      </c>
    </row>
    <row r="43">
      <c r="A43" s="10" t="inlineStr">
        <is>
          <t>Pattern ID</t>
        </is>
      </c>
      <c r="B43" s="10" t="inlineStr">
        <is>
          <t>Material</t>
        </is>
      </c>
      <c r="C43" s="10" t="inlineStr">
        <is>
          <t>Times Used</t>
        </is>
      </c>
      <c r="D43" s="10" t="inlineStr">
        <is>
          <t>Pieces</t>
        </is>
      </c>
      <c r="E43" s="10" t="inlineStr">
        <is>
          <t>Used Volume</t>
        </is>
      </c>
      <c r="F43" s="10" t="inlineStr">
        <is>
          <t>Utilization</t>
        </is>
      </c>
    </row>
    <row r="44">
      <c r="A44" s="9" t="n">
        <v>13</v>
      </c>
      <c r="B44" s="9" t="inlineStr">
        <is>
          <t>L01</t>
        </is>
      </c>
      <c r="C44" s="9" t="n">
        <v>1</v>
      </c>
      <c r="D44" s="9" t="n">
        <v>100</v>
      </c>
      <c r="E44" s="9" t="n">
        <v>9000000</v>
      </c>
      <c r="F44" s="9" t="inlineStr">
        <is>
          <t>100.00%</t>
        </is>
      </c>
    </row>
    <row r="45">
      <c r="A45" s="9" t="n">
        <v>44</v>
      </c>
      <c r="B45" s="9" t="inlineStr">
        <is>
          <t>L01</t>
        </is>
      </c>
      <c r="C45" s="9" t="n">
        <v>4</v>
      </c>
      <c r="D45" s="9" t="n">
        <v>90</v>
      </c>
      <c r="E45" s="9" t="n">
        <v>9000000</v>
      </c>
      <c r="F45" s="9" t="inlineStr">
        <is>
          <t>100.00%</t>
        </is>
      </c>
    </row>
    <row r="46">
      <c r="A46" s="9" t="n">
        <v>122</v>
      </c>
      <c r="B46" s="9" t="inlineStr">
        <is>
          <t>L02</t>
        </is>
      </c>
      <c r="C46" s="9" t="n">
        <v>3</v>
      </c>
      <c r="D46" s="9" t="n">
        <v>70</v>
      </c>
      <c r="E46" s="9" t="n">
        <v>3360000</v>
      </c>
      <c r="F46" s="9" t="inlineStr">
        <is>
          <t>89.60%</t>
        </is>
      </c>
    </row>
    <row r="47">
      <c r="A47" s="9" t="n">
        <v>144</v>
      </c>
      <c r="B47" s="9" t="inlineStr">
        <is>
          <t>L02</t>
        </is>
      </c>
      <c r="C47" s="9" t="n">
        <v>2</v>
      </c>
      <c r="D47" s="9" t="n">
        <v>21</v>
      </c>
      <c r="E47" s="9" t="n">
        <v>3340000</v>
      </c>
      <c r="F47" s="9" t="inlineStr">
        <is>
          <t>89.07%</t>
        </is>
      </c>
    </row>
    <row r="48">
      <c r="A48" s="9" t="n">
        <v>145</v>
      </c>
      <c r="B48" s="9" t="inlineStr">
        <is>
          <t>L03</t>
        </is>
      </c>
      <c r="C48" s="9" t="n">
        <v>1</v>
      </c>
      <c r="D48" s="9" t="n">
        <v>30</v>
      </c>
      <c r="E48" s="9" t="n">
        <v>1920000</v>
      </c>
      <c r="F48" s="9" t="inlineStr">
        <is>
          <t>80.00%</t>
        </is>
      </c>
    </row>
    <row r="49">
      <c r="A49" s="9" t="n">
        <v>153</v>
      </c>
      <c r="B49" s="9" t="inlineStr">
        <is>
          <t>L03</t>
        </is>
      </c>
      <c r="C49" s="9" t="n">
        <v>1</v>
      </c>
      <c r="D49" s="9" t="n">
        <v>30</v>
      </c>
      <c r="E49" s="9" t="n">
        <v>2400000</v>
      </c>
      <c r="F49" s="9" t="inlineStr">
        <is>
          <t>100.00%</t>
        </is>
      </c>
    </row>
    <row r="50">
      <c r="A50" s="9" t="n">
        <v>175</v>
      </c>
      <c r="B50" s="9" t="inlineStr">
        <is>
          <t>L03</t>
        </is>
      </c>
      <c r="C50" s="9" t="n">
        <v>1</v>
      </c>
      <c r="D50" s="9" t="n">
        <v>12</v>
      </c>
      <c r="E50" s="9" t="n">
        <v>2160000</v>
      </c>
      <c r="F50" s="9" t="inlineStr">
        <is>
          <t>90.00%</t>
        </is>
      </c>
    </row>
    <row r="51">
      <c r="A51" s="9" t="n">
        <v>185</v>
      </c>
      <c r="B51" s="9" t="inlineStr">
        <is>
          <t>L03</t>
        </is>
      </c>
      <c r="C51" s="9" t="n">
        <v>2</v>
      </c>
      <c r="D51" s="9" t="n">
        <v>24</v>
      </c>
      <c r="E51" s="9" t="n">
        <v>2400000</v>
      </c>
      <c r="F51" s="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2023-05-12T11:15:00Z</dcterms:created>
  <dcterms:modified xsi:type="dcterms:W3CDTF">2026-05-29T03:38:05Z</dcterms:modified>
  <cp:lastModifiedBy>L＆H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1C5DABDB1B5345289213777BBE18C978_12</vt:lpwstr>
  </property>
  <property name="CalculationRule" fmtid="{D5CDD505-2E9C-101B-9397-08002B2CF9AE}" pid="4">
    <vt:i4>0</vt:i4>
  </property>
</Properties>
</file>