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  <sheet name="computed_solution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  <color rgb="001F4E79"/>
      <sz val="14"/>
    </font>
    <font>
      <b val="1"/>
      <color rgb="002E75B6"/>
      <sz val="12"/>
    </font>
    <font>
      <b val="1"/>
    </font>
    <font>
      <b val="1"/>
      <color rgb="00FFFFFF"/>
      <sz val="11"/>
    </font>
  </fonts>
  <fills count="35">
    <fill>
      <patternFill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4472C4"/>
        <bgColor rgb="004472C4"/>
      </patternFill>
    </fill>
  </fills>
  <borders count="1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 diagonalDown="1"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 style="medium">
        <color auto="1"/>
      </diagonal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/>
      <right style="thin"/>
      <top style="thin"/>
      <bottom style="thin"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3" borderId="6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7" applyAlignment="1">
      <alignment vertical="center"/>
    </xf>
    <xf numFmtId="0" fontId="7" fillId="0" borderId="7" applyAlignment="1">
      <alignment vertical="center"/>
    </xf>
    <xf numFmtId="0" fontId="8" fillId="0" borderId="8" applyAlignment="1">
      <alignment vertical="center"/>
    </xf>
    <xf numFmtId="0" fontId="8" fillId="0" borderId="0" applyAlignment="1">
      <alignment vertical="center"/>
    </xf>
    <xf numFmtId="0" fontId="9" fillId="4" borderId="9" applyAlignment="1">
      <alignment vertical="center"/>
    </xf>
    <xf numFmtId="0" fontId="10" fillId="5" borderId="10" applyAlignment="1">
      <alignment vertical="center"/>
    </xf>
    <xf numFmtId="0" fontId="11" fillId="5" borderId="9" applyAlignment="1">
      <alignment vertical="center"/>
    </xf>
    <xf numFmtId="0" fontId="12" fillId="6" borderId="11" applyAlignment="1">
      <alignment vertical="center"/>
    </xf>
    <xf numFmtId="0" fontId="13" fillId="0" borderId="12" applyAlignment="1">
      <alignment vertical="center"/>
    </xf>
    <xf numFmtId="0" fontId="14" fillId="0" borderId="13" applyAlignment="1">
      <alignment vertical="center"/>
    </xf>
    <xf numFmtId="0" fontId="15" fillId="7" borderId="0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19" fillId="12" borderId="0" applyAlignment="1">
      <alignment vertical="center"/>
    </xf>
    <xf numFmtId="0" fontId="18" fillId="13" borderId="0" applyAlignment="1">
      <alignment vertical="center"/>
    </xf>
    <xf numFmtId="0" fontId="18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18" fillId="29" borderId="0" applyAlignment="1">
      <alignment vertical="center"/>
    </xf>
    <xf numFmtId="0" fontId="18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18" fillId="33" borderId="0" applyAlignment="1">
      <alignment vertical="center"/>
    </xf>
  </cellStyleXfs>
  <cellXfs count="16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justify" vertical="center" wrapText="1"/>
    </xf>
    <xf numFmtId="0" fontId="0" fillId="0" borderId="5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1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0" fillId="0" borderId="0" pivotButton="0" quotePrefix="0" xfId="0"/>
    <xf numFmtId="0" fontId="21" fillId="0" borderId="0" pivotButton="0" quotePrefix="0" xfId="0"/>
    <xf numFmtId="0" fontId="22" fillId="0" borderId="15" pivotButton="0" quotePrefix="0" xfId="0"/>
    <xf numFmtId="0" fontId="0" fillId="0" borderId="15" pivotButton="0" quotePrefix="0" xfId="0"/>
    <xf numFmtId="0" fontId="23" fillId="34" borderId="15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19"/>
  <sheetViews>
    <sheetView tabSelected="1" workbookViewId="0">
      <selection activeCell="K14" sqref="K14"/>
    </sheetView>
  </sheetViews>
  <sheetFormatPr baseColWidth="8" defaultColWidth="9" defaultRowHeight="14"/>
  <cols>
    <col width="10.9636363636364" customWidth="1" style="7" min="2" max="2"/>
  </cols>
  <sheetData>
    <row r="1" ht="14.75" customHeight="1" s="7"/>
    <row r="2" ht="14.75" customHeight="1" s="7">
      <c r="B2" s="8">
        <f>"原材料体积利用率："&amp;ROUND((SUM(C4:C18)*6400+SUM(D4:D18)*80000+SUM(E4:E18)*90000+SUM(F4:F18)*180000+SUM(G4:G18)*240000+SUM(H4:H18)*100000+SUM(I4:I18)*48000)/757500,2)&amp;"%"</f>
        <v/>
      </c>
      <c r="C2" s="9" t="n"/>
      <c r="D2" s="10" t="n"/>
    </row>
    <row r="3" ht="28.75" customHeight="1" s="7">
      <c r="B3" s="4" t="inlineStr">
        <is>
          <t xml:space="preserve">      工件
原材料</t>
        </is>
      </c>
      <c r="C3" s="5" t="inlineStr">
        <is>
          <t>J01</t>
        </is>
      </c>
      <c r="D3" s="5" t="inlineStr">
        <is>
          <t>J02</t>
        </is>
      </c>
      <c r="E3" s="5" t="inlineStr">
        <is>
          <t>J03</t>
        </is>
      </c>
      <c r="F3" s="5" t="inlineStr">
        <is>
          <t>J04</t>
        </is>
      </c>
      <c r="G3" s="5" t="inlineStr">
        <is>
          <t>J05</t>
        </is>
      </c>
      <c r="H3" s="5" t="inlineStr">
        <is>
          <t>J06</t>
        </is>
      </c>
      <c r="I3" s="5" t="inlineStr">
        <is>
          <t>J07</t>
        </is>
      </c>
    </row>
    <row r="4" ht="17" customHeight="1" s="7">
      <c r="B4" s="5" t="inlineStr">
        <is>
          <t>L01</t>
        </is>
      </c>
      <c r="C4" s="6" t="n">
        <v>0</v>
      </c>
      <c r="D4" s="6" t="n">
        <v>0</v>
      </c>
      <c r="E4" s="6" t="n">
        <v>100</v>
      </c>
      <c r="F4" s="6" t="n">
        <v>0</v>
      </c>
      <c r="G4" s="6" t="n">
        <v>0</v>
      </c>
      <c r="H4" s="6" t="n">
        <v>0</v>
      </c>
      <c r="I4" s="6" t="n">
        <v>0</v>
      </c>
    </row>
    <row r="5" ht="17" customHeight="1" s="7">
      <c r="B5" s="5" t="inlineStr">
        <is>
          <t>L01</t>
        </is>
      </c>
      <c r="C5" s="6" t="n">
        <v>0</v>
      </c>
      <c r="D5" s="6" t="n">
        <v>0</v>
      </c>
      <c r="E5" s="6" t="n">
        <v>100</v>
      </c>
      <c r="F5" s="6" t="n">
        <v>0</v>
      </c>
      <c r="G5" s="6" t="n">
        <v>0</v>
      </c>
      <c r="H5" s="6" t="n">
        <v>0</v>
      </c>
      <c r="I5" s="6" t="n">
        <v>0</v>
      </c>
    </row>
    <row r="6" ht="17" customHeight="1" s="7">
      <c r="B6" s="5" t="inlineStr">
        <is>
          <t>L01</t>
        </is>
      </c>
      <c r="C6" s="6" t="n">
        <v>0</v>
      </c>
      <c r="D6" s="6" t="n">
        <v>0</v>
      </c>
      <c r="E6" s="6" t="n">
        <v>100</v>
      </c>
      <c r="F6" s="6" t="n">
        <v>0</v>
      </c>
      <c r="G6" s="6" t="n">
        <v>0</v>
      </c>
      <c r="H6" s="6" t="n">
        <v>0</v>
      </c>
      <c r="I6" s="6" t="n">
        <v>0</v>
      </c>
    </row>
    <row r="7" ht="17" customHeight="1" s="7">
      <c r="B7" s="5" t="inlineStr">
        <is>
          <t>L01</t>
        </is>
      </c>
      <c r="C7" s="6" t="n">
        <v>0</v>
      </c>
      <c r="D7" s="6" t="n">
        <v>0</v>
      </c>
      <c r="E7" s="6" t="n">
        <v>100</v>
      </c>
      <c r="F7" s="6" t="n">
        <v>0</v>
      </c>
      <c r="G7" s="6" t="n">
        <v>0</v>
      </c>
      <c r="H7" s="6" t="n">
        <v>0</v>
      </c>
      <c r="I7" s="6" t="n">
        <v>0</v>
      </c>
    </row>
    <row r="8" ht="17" customHeight="1" s="7">
      <c r="B8" s="5" t="inlineStr">
        <is>
          <t>L01</t>
        </is>
      </c>
      <c r="C8" s="6" t="n">
        <v>0</v>
      </c>
      <c r="D8" s="6" t="n">
        <v>0</v>
      </c>
      <c r="E8" s="6" t="n">
        <v>100</v>
      </c>
      <c r="F8" s="6" t="n">
        <v>0</v>
      </c>
      <c r="G8" s="6" t="n">
        <v>0</v>
      </c>
      <c r="H8" s="6" t="n">
        <v>0</v>
      </c>
      <c r="I8" s="6" t="n">
        <v>0</v>
      </c>
    </row>
    <row r="9" ht="17" customHeight="1" s="7">
      <c r="B9" s="5" t="inlineStr">
        <is>
          <t>L02</t>
        </is>
      </c>
      <c r="C9" s="6" t="n">
        <v>0</v>
      </c>
      <c r="D9" s="6" t="n">
        <v>0</v>
      </c>
      <c r="E9" s="6" t="n">
        <v>40</v>
      </c>
      <c r="F9" s="6" t="n">
        <v>0</v>
      </c>
      <c r="G9" s="6" t="n">
        <v>0</v>
      </c>
      <c r="H9" s="6" t="n">
        <v>0</v>
      </c>
      <c r="I9" s="6" t="n">
        <v>0</v>
      </c>
    </row>
    <row r="10" ht="17" customHeight="1" s="7">
      <c r="B10" s="5" t="inlineStr">
        <is>
          <t>L02</t>
        </is>
      </c>
      <c r="C10" s="6" t="n">
        <v>0</v>
      </c>
      <c r="D10" s="6" t="n">
        <v>0</v>
      </c>
      <c r="E10" s="6" t="n">
        <v>40</v>
      </c>
      <c r="F10" s="6" t="n">
        <v>0</v>
      </c>
      <c r="G10" s="6" t="n">
        <v>0</v>
      </c>
      <c r="H10" s="6" t="n">
        <v>0</v>
      </c>
      <c r="I10" s="6" t="n">
        <v>0</v>
      </c>
    </row>
    <row r="11" ht="17" customHeight="1" s="7">
      <c r="B11" s="5" t="inlineStr">
        <is>
          <t>L02</t>
        </is>
      </c>
      <c r="C11" s="6" t="n">
        <v>0</v>
      </c>
      <c r="D11" s="6" t="n">
        <v>0</v>
      </c>
      <c r="E11" s="6" t="n">
        <v>40</v>
      </c>
      <c r="F11" s="6" t="n">
        <v>0</v>
      </c>
      <c r="G11" s="6" t="n">
        <v>0</v>
      </c>
      <c r="H11" s="6" t="n">
        <v>0</v>
      </c>
      <c r="I11" s="6" t="n">
        <v>0</v>
      </c>
    </row>
    <row r="12" ht="17" customHeight="1" s="7">
      <c r="B12" s="5" t="inlineStr">
        <is>
          <t>L02</t>
        </is>
      </c>
      <c r="C12" s="6" t="n">
        <v>0</v>
      </c>
      <c r="D12" s="6" t="n">
        <v>0</v>
      </c>
      <c r="E12" s="6" t="n">
        <v>40</v>
      </c>
      <c r="F12" s="6" t="n">
        <v>0</v>
      </c>
      <c r="G12" s="6" t="n">
        <v>0</v>
      </c>
      <c r="H12" s="6" t="n">
        <v>0</v>
      </c>
      <c r="I12" s="6" t="n">
        <v>0</v>
      </c>
    </row>
    <row r="13" ht="17" customHeight="1" s="7">
      <c r="B13" s="5" t="inlineStr">
        <is>
          <t>L02</t>
        </is>
      </c>
      <c r="C13" s="6" t="n">
        <v>0</v>
      </c>
      <c r="D13" s="6" t="n">
        <v>0</v>
      </c>
      <c r="E13" s="6" t="n">
        <v>40</v>
      </c>
      <c r="F13" s="6" t="n">
        <v>0</v>
      </c>
      <c r="G13" s="6" t="n">
        <v>0</v>
      </c>
      <c r="H13" s="6" t="n">
        <v>0</v>
      </c>
      <c r="I13" s="6" t="n">
        <v>0</v>
      </c>
    </row>
    <row r="14" ht="17" customHeight="1" s="7">
      <c r="B14" s="5" t="inlineStr">
        <is>
          <t>L03</t>
        </is>
      </c>
      <c r="C14" s="6" t="n">
        <v>0</v>
      </c>
      <c r="D14" s="6" t="n">
        <v>30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</row>
    <row r="15" ht="17" customHeight="1" s="7">
      <c r="B15" s="5" t="inlineStr">
        <is>
          <t>L03</t>
        </is>
      </c>
      <c r="C15" s="6" t="n">
        <v>0</v>
      </c>
      <c r="D15" s="6" t="n">
        <v>30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</row>
    <row r="16" ht="17" customHeight="1" s="7">
      <c r="B16" s="5" t="inlineStr">
        <is>
          <t>L03</t>
        </is>
      </c>
      <c r="C16" s="6" t="n">
        <v>0</v>
      </c>
      <c r="D16" s="6" t="n">
        <v>30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</row>
    <row r="17" ht="17" customHeight="1" s="7">
      <c r="B17" s="5" t="inlineStr">
        <is>
          <t>L03</t>
        </is>
      </c>
      <c r="C17" s="6" t="n">
        <v>0</v>
      </c>
      <c r="D17" s="6" t="n">
        <v>30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</row>
    <row r="18" ht="17" customHeight="1" s="7">
      <c r="B18" s="5" t="inlineStr">
        <is>
          <t>L03</t>
        </is>
      </c>
      <c r="C18" s="6" t="n">
        <v>0</v>
      </c>
      <c r="D18" s="6" t="n">
        <v>30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</row>
    <row r="19"/>
  </sheetData>
  <mergeCells count="1">
    <mergeCell ref="B2:D2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22" customWidth="1" style="7" min="1" max="1"/>
    <col width="22" customWidth="1" style="7" min="2" max="2"/>
    <col width="22" customWidth="1" style="7" min="3" max="3"/>
    <col width="22" customWidth="1" style="7" min="4" max="4"/>
    <col width="22" customWidth="1" style="7" min="5" max="5"/>
    <col width="22" customWidth="1" style="7" min="6" max="6"/>
    <col width="22" customWidth="1" style="7" min="7" max="7"/>
    <col width="22" customWidth="1" style="7" min="8" max="8"/>
    <col width="22" customWidth="1" style="7" min="9" max="9"/>
  </cols>
  <sheetData>
    <row r="1">
      <c r="A1" s="11" t="inlineStr">
        <is>
          <t>Computed Solution - PROBLEM1</t>
        </is>
      </c>
    </row>
    <row r="3">
      <c r="A3" s="12" t="inlineStr">
        <is>
          <t>Basic Information</t>
        </is>
      </c>
    </row>
    <row r="4">
      <c r="A4" s="13" t="inlineStr">
        <is>
          <t>Status</t>
        </is>
      </c>
      <c r="B4" s="14" t="inlineStr">
        <is>
          <t>OPTIMAL</t>
        </is>
      </c>
    </row>
    <row r="5">
      <c r="A5" s="13" t="inlineStr">
        <is>
          <t>Objective Value</t>
        </is>
      </c>
      <c r="B5" s="14" t="inlineStr">
        <is>
          <t>750000.00</t>
        </is>
      </c>
    </row>
    <row r="6">
      <c r="A6" s="13" t="inlineStr">
        <is>
          <t>Total Profit</t>
        </is>
      </c>
      <c r="B6" s="14" t="inlineStr">
        <is>
          <t>733,000.00</t>
        </is>
      </c>
    </row>
    <row r="7">
      <c r="A7" s="13" t="inlineStr">
        <is>
          <t>Total Used Volume</t>
        </is>
      </c>
      <c r="B7" s="14" t="inlineStr">
        <is>
          <t>75,000,000</t>
        </is>
      </c>
    </row>
    <row r="8">
      <c r="A8" s="13" t="inlineStr">
        <is>
          <t>Total Waste Volume</t>
        </is>
      </c>
      <c r="B8" s="14" t="inlineStr">
        <is>
          <t>750,000</t>
        </is>
      </c>
    </row>
    <row r="9">
      <c r="A9" s="13" t="inlineStr">
        <is>
          <t>Total Material Volume</t>
        </is>
      </c>
      <c r="B9" s="14" t="inlineStr">
        <is>
          <t>75,750,000</t>
        </is>
      </c>
    </row>
    <row r="10">
      <c r="A10" s="13" t="inlineStr">
        <is>
          <t>Material Utilization</t>
        </is>
      </c>
      <c r="B10" s="14" t="inlineStr">
        <is>
          <t>99.0099%</t>
        </is>
      </c>
    </row>
    <row r="11">
      <c r="A11" s="13" t="inlineStr">
        <is>
          <t>Utilization Gap to 100%</t>
        </is>
      </c>
      <c r="B11" s="14" t="inlineStr">
        <is>
          <t>0.9901%</t>
        </is>
      </c>
    </row>
    <row r="12">
      <c r="A12" s="13" t="inlineStr">
        <is>
          <t>Upper Bound</t>
        </is>
      </c>
      <c r="B12" s="14" t="inlineStr">
        <is>
          <t>1.0000</t>
        </is>
      </c>
    </row>
    <row r="13">
      <c r="A13" s="13" t="inlineStr">
        <is>
          <t>Lower Bound</t>
        </is>
      </c>
      <c r="B13" s="14" t="inlineStr">
        <is>
          <t>0.9901</t>
        </is>
      </c>
    </row>
    <row r="14">
      <c r="A14" s="13" t="inlineStr">
        <is>
          <t>Gap</t>
        </is>
      </c>
      <c r="B14" s="14" t="inlineStr">
        <is>
          <t>0.9901%</t>
        </is>
      </c>
    </row>
    <row r="15">
      <c r="A15" s="13" t="inlineStr">
        <is>
          <t>Solve Time (s)</t>
        </is>
      </c>
      <c r="B15" s="14" t="inlineStr">
        <is>
          <t>0.16</t>
        </is>
      </c>
    </row>
    <row r="16">
      <c r="A16" s="13" t="inlineStr">
        <is>
          <t>Pattern-Library Optimal</t>
        </is>
      </c>
      <c r="B16" s="14" t="inlineStr">
        <is>
          <t>CP-SAT OPTIMAL within generated pattern library</t>
        </is>
      </c>
    </row>
    <row r="18">
      <c r="A18" s="12" t="inlineStr">
        <is>
          <t>Runtime Breakdown</t>
        </is>
      </c>
    </row>
    <row r="19">
      <c r="A19" s="13" t="inlineStr">
        <is>
          <t>pattern_generation_time</t>
        </is>
      </c>
      <c r="B19" s="14" t="inlineStr">
        <is>
          <t>94.71s</t>
        </is>
      </c>
    </row>
    <row r="20">
      <c r="A20" s="13" t="inlineStr">
        <is>
          <t>master_solve_time</t>
        </is>
      </c>
      <c r="B20" s="14" t="inlineStr">
        <is>
          <t>94.78s</t>
        </is>
      </c>
    </row>
    <row r="21">
      <c r="A21" s="13" t="inlineStr">
        <is>
          <t>plotting_time_problem1</t>
        </is>
      </c>
      <c r="B21" s="14" t="inlineStr">
        <is>
          <t>9.72s</t>
        </is>
      </c>
    </row>
    <row r="22">
      <c r="A22" s="13" t="inlineStr">
        <is>
          <t>plotting_time_problem2</t>
        </is>
      </c>
      <c r="B22" s="14" t="inlineStr">
        <is>
          <t>14.10s</t>
        </is>
      </c>
    </row>
    <row r="24">
      <c r="A24" s="12" t="inlineStr">
        <is>
          <t>Piece Production Quantities</t>
        </is>
      </c>
    </row>
    <row r="25">
      <c r="A25" s="15" t="inlineStr">
        <is>
          <t>Piece</t>
        </is>
      </c>
      <c r="B25" s="15" t="inlineStr">
        <is>
          <t>Count</t>
        </is>
      </c>
      <c r="C25" s="15" t="inlineStr">
        <is>
          <t>Unit Volume</t>
        </is>
      </c>
      <c r="D25" s="15" t="inlineStr">
        <is>
          <t>Total Volume</t>
        </is>
      </c>
      <c r="E25" s="15" t="inlineStr">
        <is>
          <t>Unit Profit</t>
        </is>
      </c>
      <c r="F25" s="15" t="inlineStr">
        <is>
          <t>Total Profit</t>
        </is>
      </c>
    </row>
    <row r="26">
      <c r="A26" s="14" t="inlineStr">
        <is>
          <t>J01</t>
        </is>
      </c>
      <c r="B26" s="14" t="n">
        <v>0</v>
      </c>
      <c r="C26" s="14" t="n">
        <v>64000</v>
      </c>
      <c r="D26" s="14" t="n">
        <v>0</v>
      </c>
      <c r="E26" s="14" t="n">
        <v>620</v>
      </c>
      <c r="F26" s="14" t="n">
        <v>0</v>
      </c>
    </row>
    <row r="27">
      <c r="A27" s="14" t="inlineStr">
        <is>
          <t>J02</t>
        </is>
      </c>
      <c r="B27" s="14" t="n">
        <v>150</v>
      </c>
      <c r="C27" s="14" t="n">
        <v>80000</v>
      </c>
      <c r="D27" s="14" t="n">
        <v>12000000</v>
      </c>
      <c r="E27" s="14" t="n">
        <v>780</v>
      </c>
      <c r="F27" s="14" t="n">
        <v>117000</v>
      </c>
    </row>
    <row r="28">
      <c r="A28" s="14" t="inlineStr">
        <is>
          <t>J03</t>
        </is>
      </c>
      <c r="B28" s="14" t="n">
        <v>700</v>
      </c>
      <c r="C28" s="14" t="n">
        <v>90000</v>
      </c>
      <c r="D28" s="14" t="n">
        <v>63000000</v>
      </c>
      <c r="E28" s="14" t="n">
        <v>880</v>
      </c>
      <c r="F28" s="14" t="n">
        <v>616000</v>
      </c>
    </row>
    <row r="29">
      <c r="A29" s="14" t="inlineStr">
        <is>
          <t>J04</t>
        </is>
      </c>
      <c r="B29" s="14" t="n">
        <v>0</v>
      </c>
      <c r="C29" s="14" t="n">
        <v>180000</v>
      </c>
      <c r="D29" s="14" t="n">
        <v>0</v>
      </c>
      <c r="E29" s="14" t="n">
        <v>1850</v>
      </c>
      <c r="F29" s="14" t="n">
        <v>0</v>
      </c>
    </row>
    <row r="30">
      <c r="A30" s="14" t="inlineStr">
        <is>
          <t>J05</t>
        </is>
      </c>
      <c r="B30" s="14" t="n">
        <v>0</v>
      </c>
      <c r="C30" s="14" t="n">
        <v>240000</v>
      </c>
      <c r="D30" s="14" t="n">
        <v>0</v>
      </c>
      <c r="E30" s="14" t="n">
        <v>2520</v>
      </c>
      <c r="F30" s="14" t="n">
        <v>0</v>
      </c>
    </row>
    <row r="31">
      <c r="A31" s="14" t="inlineStr">
        <is>
          <t>J06</t>
        </is>
      </c>
      <c r="B31" s="14" t="n">
        <v>0</v>
      </c>
      <c r="C31" s="14" t="n">
        <v>100000</v>
      </c>
      <c r="D31" s="14" t="n">
        <v>0</v>
      </c>
      <c r="E31" s="14" t="n">
        <v>1000</v>
      </c>
      <c r="F31" s="14" t="n">
        <v>0</v>
      </c>
    </row>
    <row r="32">
      <c r="A32" s="14" t="inlineStr">
        <is>
          <t>J07</t>
        </is>
      </c>
      <c r="B32" s="14" t="n">
        <v>0</v>
      </c>
      <c r="C32" s="14" t="n">
        <v>48000</v>
      </c>
      <c r="D32" s="14" t="n">
        <v>0</v>
      </c>
      <c r="E32" s="14" t="n">
        <v>540</v>
      </c>
      <c r="F32" s="14" t="n">
        <v>0</v>
      </c>
    </row>
    <row r="34">
      <c r="A34" s="12" t="inlineStr">
        <is>
          <t>Material Utilization Breakdown</t>
        </is>
      </c>
    </row>
    <row r="35">
      <c r="A35" s="15" t="inlineStr">
        <is>
          <t>Material</t>
        </is>
      </c>
      <c r="B35" s="15" t="inlineStr">
        <is>
          <t>Count</t>
        </is>
      </c>
      <c r="C35" s="15" t="inlineStr">
        <is>
          <t>Unit Volume</t>
        </is>
      </c>
      <c r="D35" s="15" t="inlineStr">
        <is>
          <t>Total Volume</t>
        </is>
      </c>
      <c r="E35" s="15" t="inlineStr">
        <is>
          <t>Used Volume</t>
        </is>
      </c>
      <c r="F35" s="15" t="inlineStr">
        <is>
          <t>Waste</t>
        </is>
      </c>
      <c r="G35" s="15" t="inlineStr">
        <is>
          <t>Utilization</t>
        </is>
      </c>
    </row>
    <row r="36">
      <c r="A36" s="14" t="inlineStr">
        <is>
          <t>L01</t>
        </is>
      </c>
      <c r="B36" s="14" t="n">
        <v>5</v>
      </c>
      <c r="C36" s="14" t="n">
        <v>9000000</v>
      </c>
      <c r="D36" s="14" t="n">
        <v>45000000</v>
      </c>
      <c r="E36" s="14" t="n">
        <v>45000000</v>
      </c>
      <c r="F36" s="14" t="n">
        <v>0</v>
      </c>
      <c r="G36" s="14" t="inlineStr">
        <is>
          <t>100.00%</t>
        </is>
      </c>
    </row>
    <row r="37">
      <c r="A37" s="14" t="inlineStr">
        <is>
          <t>L02</t>
        </is>
      </c>
      <c r="B37" s="14" t="n">
        <v>5</v>
      </c>
      <c r="C37" s="14" t="n">
        <v>3750000</v>
      </c>
      <c r="D37" s="14" t="n">
        <v>18750000</v>
      </c>
      <c r="E37" s="14" t="n">
        <v>18000000</v>
      </c>
      <c r="F37" s="14" t="n">
        <v>750000</v>
      </c>
      <c r="G37" s="14" t="inlineStr">
        <is>
          <t>96.00%</t>
        </is>
      </c>
    </row>
    <row r="38">
      <c r="A38" s="14" t="inlineStr">
        <is>
          <t>L03</t>
        </is>
      </c>
      <c r="B38" s="14" t="n">
        <v>5</v>
      </c>
      <c r="C38" s="14" t="n">
        <v>2400000</v>
      </c>
      <c r="D38" s="14" t="n">
        <v>12000000</v>
      </c>
      <c r="E38" s="14" t="n">
        <v>12000000</v>
      </c>
      <c r="F38" s="14" t="n">
        <v>0</v>
      </c>
      <c r="G38" s="14" t="inlineStr">
        <is>
          <t>100.00%</t>
        </is>
      </c>
    </row>
    <row r="40">
      <c r="A40" s="12" t="inlineStr">
        <is>
          <t>Pattern Usage Details</t>
        </is>
      </c>
    </row>
    <row r="41">
      <c r="A41" s="15" t="inlineStr">
        <is>
          <t>Pattern ID</t>
        </is>
      </c>
      <c r="B41" s="15" t="inlineStr">
        <is>
          <t>Material</t>
        </is>
      </c>
      <c r="C41" s="15" t="inlineStr">
        <is>
          <t>Times Used</t>
        </is>
      </c>
      <c r="D41" s="15" t="inlineStr">
        <is>
          <t>Pieces</t>
        </is>
      </c>
      <c r="E41" s="15" t="inlineStr">
        <is>
          <t>Used Volume</t>
        </is>
      </c>
      <c r="F41" s="15" t="inlineStr">
        <is>
          <t>Utilization</t>
        </is>
      </c>
    </row>
    <row r="42">
      <c r="A42" s="14" t="n">
        <v>13</v>
      </c>
      <c r="B42" s="14" t="inlineStr">
        <is>
          <t>L01</t>
        </is>
      </c>
      <c r="C42" s="14" t="n">
        <v>5</v>
      </c>
      <c r="D42" s="14" t="n">
        <v>100</v>
      </c>
      <c r="E42" s="14" t="n">
        <v>9000000</v>
      </c>
      <c r="F42" s="14" t="inlineStr">
        <is>
          <t>100.00%</t>
        </is>
      </c>
    </row>
    <row r="43">
      <c r="A43" s="14" t="n">
        <v>97</v>
      </c>
      <c r="B43" s="14" t="inlineStr">
        <is>
          <t>L02</t>
        </is>
      </c>
      <c r="C43" s="14" t="n">
        <v>5</v>
      </c>
      <c r="D43" s="14" t="n">
        <v>40</v>
      </c>
      <c r="E43" s="14" t="n">
        <v>3600000</v>
      </c>
      <c r="F43" s="14" t="inlineStr">
        <is>
          <t>96.00%</t>
        </is>
      </c>
    </row>
    <row r="44">
      <c r="A44" s="14" t="n">
        <v>167</v>
      </c>
      <c r="B44" s="14" t="inlineStr">
        <is>
          <t>L03</t>
        </is>
      </c>
      <c r="C44" s="14" t="n">
        <v>5</v>
      </c>
      <c r="D44" s="14" t="n">
        <v>30</v>
      </c>
      <c r="E44" s="14" t="n">
        <v>2400000</v>
      </c>
      <c r="F44" s="14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2023-05-12T11:15:00Z</dcterms:created>
  <dcterms:modified xsi:type="dcterms:W3CDTF">2026-05-29T14:49:57Z</dcterms:modified>
  <cp:lastModifiedBy>L＆H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2052-12.1.0.25225</vt:lpwstr>
  </property>
  <property name="ICV" fmtid="{D5CDD505-2E9C-101B-9397-08002B2CF9AE}" pid="3">
    <vt:lpwstr>325566BEA65E47F1ACA8257A3A8E999D_12</vt:lpwstr>
  </property>
  <property name="CalculationRule" fmtid="{D5CDD505-2E9C-101B-9397-08002B2CF9AE}" pid="4">
    <vt:i4>0</vt:i4>
  </property>
</Properties>
</file>